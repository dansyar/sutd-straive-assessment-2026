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a705d5e6e44b84" /></Relationships>
</file>

<file path=xl/workbook.xml><?xml version="1.0" encoding="utf-8"?>
<x:workbook xmlns:x="http://schemas.openxmlformats.org/spreadsheetml/2006/main">
  <x:sheets>
    <x:sheet xmlns:r="http://schemas.openxmlformats.org/officeDocument/2006/relationships" name="Review" sheetId="1" r:id="Rcb9b43b27d204cbd"/>
    <x:sheet xmlns:r="http://schemas.openxmlformats.org/officeDocument/2006/relationships" name="Provenance" sheetId="2" r:id="R2f87cecb6b38428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sz val="11"/>
      <x:color rgb="FF242821"/>
      <x:name val="Arial"/>
    </x:font>
    <x:font>
      <x:b/>
      <x:sz val="16"/>
      <x:color rgb="FF242821"/>
      <x:name val="Arial"/>
    </x:font>
    <x:font>
      <x:b/>
      <x:sz val="11"/>
      <x:color rgb="FFFFFFFF"/>
      <x:name val="Arial"/>
    </x:font>
    <x:font>
      <x:sz val="10"/>
      <x:color rgb="FF60665C"/>
      <x:name val="Arial"/>
    </x:font>
    <x:font>
      <x:b/>
      <x:sz val="11"/>
      <x:color rgb="FF242821"/>
      <x:name val="Arial"/>
    </x:font>
  </x:fonts>
  <x:fills count="5">
    <x:fill>
      <x:patternFill patternType="none"/>
    </x:fill>
    <x:fill>
      <x:patternFill patternType="gray125"/>
    </x:fill>
    <x:fill>
      <x:patternFill patternType="solid">
        <x:fgColor rgb="FF30392C"/>
      </x:patternFill>
    </x:fill>
    <x:fill>
      <x:patternFill patternType="solid">
        <x:fgColor rgb="FFF4F3F8"/>
      </x:patternFill>
    </x:fill>
    <x:fill>
      <x:patternFill patternType="solid">
        <x:fgColor rgb="FFFFFFFF"/>
      </x:patternFill>
    </x:fill>
  </x:fills>
  <x:borders count="5">
    <x:border>
      <x:left/>
      <x:right/>
      <x:top/>
      <x:bottom/>
      <x:diagonal/>
    </x:border>
    <x:border>
      <x:left/>
      <x:right/>
      <x:top/>
      <x:bottom style="thin">
        <x:color rgb="FFE5E4EA"/>
      </x:bottom>
      <x:diagonal/>
    </x:border>
    <x:border>
      <x:left/>
      <x:right/>
      <x:top style="thin">
        <x:color rgb="FFE5E4EA"/>
      </x:top>
      <x:bottom style="thin">
        <x:color rgb="FFE5E4EA"/>
      </x:bottom>
      <x:diagonal/>
    </x:border>
    <x:border>
      <x:left/>
      <x:right/>
      <x:top style="thin">
        <x:color rgb="FFE5E4EA"/>
      </x:top>
      <x:bottom/>
      <x:diagonal/>
    </x:border>
    <x:border>
      <x:left/>
      <x:right/>
      <x:top/>
      <x:bottom style="thin">
        <x:color rgb="FFB4B9AF"/>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200" fontId="1" fillId="0" borderId="0" xfId="0" applyNumberFormat="1" applyFont="1" applyFill="1" applyBorder="1"/>
    <x:xf numFmtId="0" fontId="1" fillId="3" borderId="0" xfId="0" applyNumberFormat="1" applyFont="1" applyFill="1" applyBorder="1"/>
    <x:xf numFmtId="200" fontId="1" fillId="3" borderId="0" xfId="0" applyNumberFormat="1" applyFont="1" applyFill="1" applyBorder="1"/>
    <x:xf numFmtId="0" fontId="5" fillId="0" borderId="0" xfId="0" applyNumberFormat="1" applyFont="1" applyFill="1" applyBorder="1" applyAlignment="1">
      <x:alignment vertical="top" wrapText="1"/>
    </x:xf>
    <x:xf numFmtId="0" fontId="5" fillId="0" borderId="0" xfId="0" applyNumberFormat="1" applyFont="1" applyFill="1" applyBorder="1"/>
    <x:xf numFmtId="0" fontId="5" fillId="0" borderId="4" xfId="0" applyNumberFormat="1" applyFont="1" applyFill="1" applyBorder="1" applyAlignment="1">
      <x:alignment vertical="top" wrapText="1"/>
    </x:xf>
    <x:xf numFmtId="0" fontId="1" fillId="0" borderId="4" xfId="0" applyNumberFormat="1" applyFont="1" applyFill="1" applyBorder="1" applyAlignment="1">
      <x:alignment vertical="top" wrapText="1"/>
    </x:xf>
    <x:xf numFmtId="201" fontId="1" fillId="0" borderId="0" xfId="0" applyNumberFormat="1" applyFont="1" applyFill="1" applyBorder="1"/>
  </x:cellXfs>
  <x:cellStyles count="1">
    <x:cellStyle name="Normal" xfId="0"/>
  </x:cellStyles>
  <x:dxfs count="3">
    <x:dxf>
      <x:font>
        <x:b/>
        <x:color rgb="FF754B17"/>
      </x:font>
      <x:fill>
        <x:patternFill patternType="solid">
          <x:bgColor rgb="FFFFF0D0"/>
        </x:patternFill>
      </x:fill>
    </x:dxf>
    <x:dxf>
      <x:font>
        <x:color rgb="FF804A21"/>
      </x:font>
      <x:fill>
        <x:patternFill patternType="solid">
          <x:bgColor rgb="FFFBEBDD"/>
        </x:patternFill>
      </x:fill>
    </x:dxf>
    <x:dxf>
      <x:font>
        <x:color rgb="FF754B17"/>
      </x:font>
      <x:fill>
        <x:patternFill patternType="solid">
          <x:bgColor rgb="FFFFF0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c1c1c6d65f415a" /><Relationship Type="http://schemas.openxmlformats.org/officeDocument/2006/relationships/theme" Target="/xl/theme/theme1.xml" Id="R44a387820cdd411a" /><Relationship Type="http://schemas.openxmlformats.org/officeDocument/2006/relationships/sharedStrings" Target="/xl/sharedStrings.xml" Id="Rf82ba2b923fe4f93" /><Relationship Type="http://schemas.openxmlformats.org/officeDocument/2006/relationships/worksheet" Target="/xl/worksheets/sheet1.xml" Id="Rcb9b43b27d204cbd" /><Relationship Type="http://schemas.openxmlformats.org/officeDocument/2006/relationships/worksheet" Target="/xl/worksheets/sheet2.xml" Id="R2f87cecb6b384282" /></Relationships>
</file>

<file path=xl/tables/table1.xml><?xml version="1.0" encoding="utf-8"?>
<x:table xmlns:x="http://schemas.openxmlformats.org/spreadsheetml/2006/main" id="1" name="ReviewedReports" displayName="ReviewedReports" ref="A6:F66" headerRowCount="1" totalsRowCount="0" totalsRowShown="0">
  <x:autoFilter ref="A6:F66"/>
  <x:tableColumns count="6">
    <x:tableColumn id="1" name="Report ID"/>
    <x:tableColumn id="2" name="Original report"/>
    <x:tableColumn id="3" name="Category"/>
    <x:tableColumn id="4" name="Urgency"/>
    <x:tableColumn id="5" name="Needs clarification"/>
    <x:tableColumn id="6" name="Reason / missing fact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881841d0ec4bd4" /></Relationships>
</file>

<file path=xl/worksheets/sheet1.xml><?xml version="1.0" encoding="utf-8"?>
<x:worksheet xmlns:x="http://schemas.openxmlformats.org/spreadsheetml/2006/main">
  <x:sheetPr>
    <x:tabColor rgb="FF30392C"/>
  </x:sheetPr>
  <x:sheetViews>
    <x:sheetView showGridLines="0" workbookViewId="0">
      <x:pane xSplit="1" ySplit="6" topLeftCell="B7" activePane="bottomRight" state="frozen"/>
    </x:sheetView>
  </x:sheetViews>
  <x:sheetFormatPr defaultRowHeight="15"/>
  <x:cols>
    <x:col min="1" max="1" width="12.4399995803833" hidden="0" customWidth="1"/>
    <x:col min="2" max="2" width="51.11000061035156" hidden="0" customWidth="1"/>
    <x:col min="3" max="3" width="20" hidden="0" customWidth="1"/>
    <x:col min="4" max="4" width="12.220000267028809" hidden="0" customWidth="1"/>
    <x:col min="5" max="5" width="16.670000076293945" hidden="0" customWidth="1"/>
    <x:col min="6" max="6" width="46.66999816894531" hidden="0" customWidth="1"/>
    <x:col min="7" max="7" width="3" hidden="0" customWidth="1"/>
  </x:cols>
  <x:sheetData>
    <x:row r="1">
      <x:c r="A1" s="1"/>
      <x:c r="B1" s="1"/>
      <x:c r="C1" s="1"/>
      <x:c r="D1" s="1"/>
      <x:c r="E1" s="1"/>
      <x:c r="F1" s="1"/>
    </x:row>
    <x:row r="2">
      <x:c r="A2" s="2" t="str">
        <x:v>Report review</x:v>
      </x:c>
      <x:c r="B2" s="1"/>
      <x:c r="C2" s="1"/>
      <x:c r="D2" s="1"/>
      <x:c r="E2" s="1"/>
      <x:c r="F2" s="1"/>
    </x:row>
    <x:row r="3">
      <x:c r="A3" s="1"/>
      <x:c r="B3" s="1" t="str">
        <x:v>21 October 2026</x:v>
      </x:c>
      <x:c r="C3" s="1"/>
      <x:c r="D3" s="1"/>
      <x:c r="E3" s="1"/>
      <x:c r="F3" s="1"/>
    </x:row>
    <x:row r="4">
      <x:c r="A4" s="1"/>
      <x:c r="B4" s="1" t="str"/>
      <x:c r="C4" s="1"/>
      <x:c r="D4" s="1"/>
      <x:c r="E4" s="1"/>
      <x:c r="F4" s="1"/>
    </x:row>
    <x:row r="5">
      <x:c r="A5" s="1"/>
      <x:c r="B5" s="1"/>
      <x:c r="C5" s="1"/>
      <x:c r="D5" s="1"/>
      <x:c r="E5" s="1"/>
      <x:c r="F5" s="1"/>
    </x:row>
    <x:row r="6" ht="30" customHeight="1">
      <x:c r="A6" s="6" t="str">
        <x:v>Report ID</x:v>
      </x:c>
      <x:c r="B6" s="6" t="str">
        <x:v>Original report</x:v>
      </x:c>
      <x:c r="C6" s="6" t="str">
        <x:v>Category</x:v>
      </x:c>
      <x:c r="D6" s="6" t="str">
        <x:v>Urgency</x:v>
      </x:c>
      <x:c r="E6" s="6" t="str">
        <x:v>Needs clarification</x:v>
      </x:c>
      <x:c r="F6" s="6" t="str">
        <x:v>Reason / missing facts</x:v>
      </x:c>
    </x:row>
    <x:row r="7" ht="64" customHeight="1">
      <x:c r="A7" s="17" t="str">
        <x:v>RLY-23879</x:v>
      </x:c>
      <x:c r="B7" s="11" t="str">
        <x:v>The bag was sent to a depot in the wrong city. We have its scan and need a recovery plan.</x:v>
      </x:c>
      <x:c r="C7" s="12" t="str">
        <x:v>Delivery delay</x:v>
      </x:c>
      <x:c r="D7" s="12" t="str">
        <x:v>Routine</x:v>
      </x:c>
      <x:c r="E7" s="12" t="str">
        <x:v>No</x:v>
      </x:c>
      <x:c r="F7" s="12" t="str">
        <x:v>The bag is located by a scan at a depot in the wrong city, so recovery is a transport delay. No immediate threat is described.</x:v>
      </x:c>
    </x:row>
    <x:row r="8" ht="64" customHeight="1">
      <x:c r="A8" s="18" t="str">
        <x:v>RLY-63172</x:v>
      </x:c>
      <x:c r="B8" s="13" t="str">
        <x:v>An old near miss has been reviewed and its corrective action closed. Please file the final report.</x:v>
      </x:c>
      <x:c r="C8" s="14" t="str">
        <x:v>Safety &amp; security</x:v>
      </x:c>
      <x:c r="D8" s="14" t="str">
        <x:v>Routine</x:v>
      </x:c>
      <x:c r="E8" s="14" t="str">
        <x:v>No</x:v>
      </x:c>
      <x:c r="F8" s="14" t="str">
        <x:v>The subject is a safety near miss, but its review and corrective action are closed; only filing the final report remains.</x:v>
      </x:c>
    </x:row>
    <x:row r="9" ht="64" customHeight="1">
      <x:c r="A9" s="18" t="str">
        <x:v>RLY-21862</x:v>
      </x:c>
      <x:c r="B9" s="13" t="str">
        <x:v>A faulty display flashed 30 C, but two independent probes verified stable 5 C. The sensor has been replaced.</x:v>
      </x:c>
      <x:c r="C9" s="14" t="str">
        <x:v>Temperature issue</x:v>
      </x:c>
      <x:c r="D9" s="14" t="str">
        <x:v>Routine</x:v>
      </x:c>
      <x:c r="E9" s="14" t="str">
        <x:v>No</x:v>
      </x:c>
      <x:c r="F9" s="14" t="str">
        <x:v>This concerns temperature monitoring: two independent probes verified stable 5 C and the faulty sensor has been replaced. No continuing excursion is described.</x:v>
      </x:c>
    </x:row>
    <x:row r="10" ht="64" customHeight="1">
      <x:c r="A10" s="18" t="str">
        <x:v>RLY-17225</x:v>
      </x:c>
      <x:c r="B10" s="13" t="str">
        <x:v>Rain soaked the paper stock in transit. The load is in dry storage awaiting a claim inspection.</x:v>
      </x:c>
      <x:c r="C10" s="14" t="str">
        <x:v>Cargo damage</x:v>
      </x:c>
      <x:c r="D10" s="14" t="str">
        <x:v>Routine</x:v>
      </x:c>
      <x:c r="E10" s="14" t="str">
        <x:v>No</x:v>
      </x:c>
      <x:c r="F10" s="14" t="str">
        <x:v>Rain physically damaged the paper stock. The load is now in dry storage awaiting a claim inspection, with no ongoing hazard described.</x:v>
      </x:c>
    </x:row>
    <x:row r="11" ht="64" customHeight="1">
      <x:c r="A11" s="18" t="str">
        <x:v>RLY-33429</x:v>
      </x:c>
      <x:c r="B11" s="13" t="str">
        <x:v>A parcel of lamps has crushed shades. There is no smoke, leaking substance or continuing hazard.</x:v>
      </x:c>
      <x:c r="C11" s="14" t="str">
        <x:v>Cargo damage</x:v>
      </x:c>
      <x:c r="D11" s="14" t="str">
        <x:v>Routine</x:v>
      </x:c>
      <x:c r="E11" s="14" t="str">
        <x:v>No</x:v>
      </x:c>
      <x:c r="F11" s="14" t="str">
        <x:v>Crushed lamp shades are the physical damage at issue, and the report expressly excludes smoke, leakage and a continuing hazard.</x:v>
      </x:c>
    </x:row>
    <x:row r="12" ht="64" customHeight="1">
      <x:c r="A12" s="18" t="str">
        <x:v>RLY-46664</x:v>
      </x:c>
      <x:c r="B12" s="13" t="str">
        <x:v>A regular apparel order disappeared between two sorting hubs. There is no current evidence of a security incident.</x:v>
      </x:c>
      <x:c r="C12" s="14" t="str">
        <x:v>Missing shipment</x:v>
      </x:c>
      <x:c r="D12" s="14" t="str">
        <x:v>Routine</x:v>
      </x:c>
      <x:c r="E12" s="14" t="str">
        <x:v>No</x:v>
      </x:c>
      <x:c r="F12" s="14" t="str">
        <x:v>The apparel order disappeared between sorting hubs. There is no current evidence of a security incident or other immediate threat.</x:v>
      </x:c>
    </x:row>
    <x:row r="13" ht="64" customHeight="1">
      <x:c r="A13" s="18" t="str">
        <x:v>RLY-24976</x:v>
      </x:c>
      <x:c r="B13" s="13" t="str">
        <x:v>The crate's side is splintered and the sculpture inside is chipped. The packing area has been made safe.</x:v>
      </x:c>
      <x:c r="C13" s="14" t="str">
        <x:v>Cargo damage</x:v>
      </x:c>
      <x:c r="D13" s="14" t="str">
        <x:v>Routine</x:v>
      </x:c>
      <x:c r="E13" s="14" t="str">
        <x:v>No</x:v>
      </x:c>
      <x:c r="F13" s="14" t="str">
        <x:v>The splintered crate and chipped sculpture establish physical damage. The packing area has already been made safe.</x:v>
      </x:c>
    </x:row>
    <x:row r="14" ht="64" customHeight="1">
      <x:c r="A14" s="18" t="str">
        <x:v>RLY-11418</x:v>
      </x:c>
      <x:c r="B14" s="13" t="str">
        <x:v>A pallet of spare labels is held because the tariff heading is absent. The broker requests a corrected declaration.</x:v>
      </x:c>
      <x:c r="C14" s="14" t="str">
        <x:v>Documents &amp; customs</x:v>
      </x:c>
      <x:c r="D14" s="14" t="str">
        <x:v>Routine</x:v>
      </x:c>
      <x:c r="E14" s="14" t="str">
        <x:v>No</x:v>
      </x:c>
      <x:c r="F14" s="14" t="str">
        <x:v>The absent tariff heading requires a corrected declaration, making trade documentation the cause of the hold. No immediate threat is described.</x:v>
      </x:c>
    </x:row>
    <x:row r="15" ht="64" customHeight="1">
      <x:c r="A15" s="18" t="str">
        <x:v>RLY-61963</x:v>
      </x:c>
      <x:c r="B15" s="13" t="str">
        <x:v>The vehicle carrying the replacement emergency ventilation motor is delayed at a road closure. The destination's ventilation has failed and personnel cannot remain there safely.</x:v>
      </x:c>
      <x:c r="C15" s="14" t="str">
        <x:v>Safety &amp; security</x:v>
      </x:c>
      <x:c r="D15" s="14" t="str">
        <x:v>Urgent</x:v>
      </x:c>
      <x:c r="E15" s="14" t="str">
        <x:v>Yes</x:v>
      </x:c>
      <x:c r="F15" s="14" t="str">
        <x:v>Failed ventilation explicitly makes the destination unsafe for personnel, so the active unsafe condition takes precedence. Site safety and recovery of the delayed replacement motor need separate handling.</x:v>
      </x:c>
    </x:row>
    <x:row r="16" ht="64" customHeight="1">
      <x:c r="A16" s="18" t="str">
        <x:v>RLY-38796</x:v>
      </x:c>
      <x:c r="B16" s="13" t="str">
        <x:v>A mock evacuation was completed on schedule. The fire alarm was part of the exercise and there is no real emergency.</x:v>
      </x:c>
      <x:c r="C16" s="14" t="str">
        <x:v>Safety &amp; security</x:v>
      </x:c>
      <x:c r="D16" s="14" t="str">
        <x:v>Routine</x:v>
      </x:c>
      <x:c r="E16" s="14" t="str">
        <x:v>No</x:v>
      </x:c>
      <x:c r="F16" s="14" t="str">
        <x:v>This is a completed evacuation exercise. The alarm was simulated and the report explicitly states there is no real emergency.</x:v>
      </x:c>
    </x:row>
    <x:row r="17" ht="64" customHeight="1">
      <x:c r="A17" s="18" t="str">
        <x:v>RLY-25526</x:v>
      </x:c>
      <x:c r="B17" s="13" t="str">
        <x:v>The chilled carton has a cosmetic tear. The seal is intact, the recorded temperature stayed in range and the claim concerns the packaging only.</x:v>
      </x:c>
      <x:c r="C17" s="14" t="str">
        <x:v>Cargo damage</x:v>
      </x:c>
      <x:c r="D17" s="14" t="str">
        <x:v>Routine</x:v>
      </x:c>
      <x:c r="E17" s="14" t="str">
        <x:v>No</x:v>
      </x:c>
      <x:c r="F17" s="14" t="str">
        <x:v>The claim concerns only a cosmetic packaging tear; the seal is intact and temperature records stayed in range.</x:v>
      </x:c>
    </x:row>
    <x:row r="18" ht="64" customHeight="1">
      <x:c r="A18" s="18" t="str">
        <x:v>RLY-29969</x:v>
      </x:c>
      <x:c r="B18" s="13" t="str">
        <x:v>A consignee says the container never appeared while the terminal record says collected. The collecting vehicle is not identified.</x:v>
      </x:c>
      <x:c r="C18" s="14" t="str">
        <x:v>Missing shipment</x:v>
      </x:c>
      <x:c r="D18" s="14" t="str">
        <x:v>Routine</x:v>
      </x:c>
      <x:c r="E18" s="14" t="str">
        <x:v>Yes</x:v>
      </x:c>
      <x:c r="F18" s="14" t="str">
        <x:v>The consignee lacks the container while the terminal records collection, leaving its delivery unconfirmed. The conflicting accounts and unidentified collecting vehicle need clarification; no immediate threat is described.</x:v>
      </x:c>
    </x:row>
    <x:row r="19" ht="64" customHeight="1">
      <x:c r="A19" s="18" t="str">
        <x:v>RLY-63550</x:v>
      </x:c>
      <x:c r="B19" s="13" t="str">
        <x:v>The refrigerated goods were transferred into an unpowered compartment. We cannot read the logger or establish how long they have been there.</x:v>
      </x:c>
      <x:c r="C19" s="14" t="str">
        <x:v>Temperature issue</x:v>
      </x:c>
      <x:c r="D19" s="14" t="str">
        <x:v>Unclear</x:v>
      </x:c>
      <x:c r="E19" s="14" t="str">
        <x:v>Yes</x:v>
      </x:c>
      <x:c r="F19" s="14" t="str">
        <x:v>Refrigerated goods in an unpowered compartment create a cold-chain concern. Actual temperature, logger evidence and time without power are unavailable, so an uncontained excursion cannot be established or excluded.</x:v>
      </x:c>
    </x:row>
    <x:row r="20" ht="64" customHeight="1">
      <x:c r="A20" s="18" t="str">
        <x:v>RLY-91877</x:v>
      </x:c>
      <x:c r="B20" s="13" t="str">
        <x:v>A box of lithium cells is hissing and giving off heat. People are standing close to the unisolated pallet.</x:v>
      </x:c>
      <x:c r="C20" s="14" t="str">
        <x:v>Safety &amp; security</x:v>
      </x:c>
      <x:c r="D20" s="14" t="str">
        <x:v>Urgent</x:v>
      </x:c>
      <x:c r="E20" s="14" t="str">
        <x:v>No</x:v>
      </x:c>
      <x:c r="F20" s="14" t="str">
        <x:v>Lithium cells are actively hissing and heating on an unisolated pallet with people close by, establishing an ongoing physical hazard.</x:v>
      </x:c>
    </x:row>
    <x:row r="21" ht="64" customHeight="1">
      <x:c r="A21" s="18" t="str">
        <x:v>RLY-23213</x:v>
      </x:c>
      <x:c r="B21" s="13" t="str">
        <x:v>A replacement pump needed for emergency flood protection is stuck en route during rising water. We have not confirmed how long the barrier can hold.</x:v>
      </x:c>
      <x:c r="C21" s="14" t="str">
        <x:v>Safety &amp; security</x:v>
      </x:c>
      <x:c r="D21" s="14" t="str">
        <x:v>Urgent</x:v>
      </x:c>
      <x:c r="E21" s="14" t="str">
        <x:v>Yes</x:v>
      </x:c>
      <x:c r="F21" s="14" t="str">
        <x:v>Rising water and uncertain barrier endurance create an active safety threat while the emergency flood-protection pump is delayed. Barrier endurance is missing, and site protection and transport recovery need separate handling.</x:v>
      </x:c>
    </x:row>
    <x:row r="22" ht="64" customHeight="1">
      <x:c r="A22" s="18" t="str">
        <x:v>RLY-29998</x:v>
      </x:c>
      <x:c r="B22" s="13" t="str">
        <x:v>A mirror arrived with a fracture. All pieces remain secured in the protective film and no one is exposed.</x:v>
      </x:c>
      <x:c r="C22" s="14" t="str">
        <x:v>Cargo damage</x:v>
      </x:c>
      <x:c r="D22" s="14" t="str">
        <x:v>Routine</x:v>
      </x:c>
      <x:c r="E22" s="14" t="str">
        <x:v>No</x:v>
      </x:c>
      <x:c r="F22" s="14" t="str">
        <x:v>The mirror is fractured, but all pieces are secured in protective film and nobody is exposed.</x:v>
      </x:c>
    </x:row>
    <x:row r="23" ht="64" customHeight="1">
      <x:c r="A23" s="18" t="str">
        <x:v>RLY-11674</x:v>
      </x:c>
      <x:c r="B23" s="13" t="str">
        <x:v>The replacement module for the destination's failed emergency communications is unaccounted for. It is needed now, but we do not know which vehicle last carried it.</x:v>
      </x:c>
      <x:c r="C23" s="14" t="str">
        <x:v>Missing shipment</x:v>
      </x:c>
      <x:c r="D23" s="14" t="str">
        <x:v>Urgent</x:v>
      </x:c>
      <x:c r="E23" s="14" t="str">
        <x:v>Yes</x:v>
      </x:c>
      <x:c r="F23" s="14" t="str">
        <x:v>The replacement module is unaccounted for and is needed now to restore failed emergency communications, meeting the critical-safety-system urgency rule. Its last carrying vehicle is an explicitly missing tracing fact.</x:v>
      </x:c>
    </x:row>
    <x:row r="24" ht="64" customHeight="1">
      <x:c r="A24" s="18" t="str">
        <x:v>RLY-98271</x:v>
      </x:c>
      <x:c r="B24" s="13" t="str">
        <x:v>A receiver reports 'not cold enough'. We lack a measured temperature, the required limits and any transport record.</x:v>
      </x:c>
      <x:c r="C24" s="14" t="str">
        <x:v>Temperature issue</x:v>
      </x:c>
      <x:c r="D24" s="14" t="str">
        <x:v>Unclear</x:v>
      </x:c>
      <x:c r="E24" s="14" t="str">
        <x:v>Yes</x:v>
      </x:c>
      <x:c r="F24" s="14" t="str">
        <x:v>The complaint concerns insufficient cooling, but measured temperature, required limits and transport records are all absent. Those facts are needed to judge whether an excursion exists and needs immediate action.</x:v>
      </x:c>
    </x:row>
    <x:row r="25" ht="64" customHeight="1">
      <x:c r="A25" s="18" t="str">
        <x:v>RLY-86065</x:v>
      </x:c>
      <x:c r="B25" s="13" t="str">
        <x:v>The delivery signature file is blank, although the consignee confirms receipt of the undamaged shipment.</x:v>
      </x:c>
      <x:c r="C25" s="14" t="str">
        <x:v>Documents &amp; customs</x:v>
      </x:c>
      <x:c r="D25" s="14" t="str">
        <x:v>Routine</x:v>
      </x:c>
      <x:c r="E25" s="14" t="str">
        <x:v>No</x:v>
      </x:c>
      <x:c r="F25" s="14" t="str">
        <x:v>The defect is a blank proof-of-delivery signature file. The consignee confirms receipt of the undamaged shipment, so tracing or damage handling is not indicated.</x:v>
      </x:c>
    </x:row>
    <x:row r="26" ht="64" customHeight="1">
      <x:c r="A26" s="18" t="str">
        <x:v>RLY-56904</x:v>
      </x:c>
      <x:c r="B26" s="13" t="str">
        <x:v>The carton count is correct but the sealed box contains no ordered instrument. The sender has requested a contents investigation.</x:v>
      </x:c>
      <x:c r="C26" s="14" t="str">
        <x:v>Missing shipment</x:v>
      </x:c>
      <x:c r="D26" s="14" t="str">
        <x:v>Routine</x:v>
      </x:c>
      <x:c r="E26" s="14" t="str">
        <x:v>No</x:v>
      </x:c>
      <x:c r="F26" s="14" t="str">
        <x:v>Although the carton count is correct, the ordered instrument is absent from the sealed box. This is a missing-contents investigation with no immediate threat described.</x:v>
      </x:c>
    </x:row>
    <x:row r="27" ht="64" customHeight="1">
      <x:c r="A27" s="18" t="str">
        <x:v>RLY-95467</x:v>
      </x:c>
      <x:c r="B27" s="13" t="str">
        <x:v>The consignee reports torn packaging and thinks some contents are gone. No count or inventory is supplied.</x:v>
      </x:c>
      <x:c r="C27" s="14" t="str">
        <x:v>Unclear</x:v>
      </x:c>
      <x:c r="D27" s="14" t="str">
        <x:v>Routine</x:v>
      </x:c>
      <x:c r="E27" s="14" t="str">
        <x:v>Yes</x:v>
      </x:c>
      <x:c r="F27" s="14" t="str">
        <x:v>Torn packaging is reported, but loss of contents is only suspected and no count or inventory is supplied. The primary issue cannot yet be separated into damage or missing contents; no immediate threat is described.</x:v>
      </x:c>
    </x:row>
    <x:row r="28" ht="64" customHeight="1">
      <x:c r="A28" s="18" t="str">
        <x:v>RLY-70519</x:v>
      </x:c>
      <x:c r="B28" s="13" t="str">
        <x:v>Last week's cold-chain deviation is already isolated and under a quality hold. This request is for the investigation paperwork only.</x:v>
      </x:c>
      <x:c r="C28" s="14" t="str">
        <x:v>Temperature issue</x:v>
      </x:c>
      <x:c r="D28" s="14" t="str">
        <x:v>Routine</x:v>
      </x:c>
      <x:c r="E28" s="14" t="str">
        <x:v>No</x:v>
      </x:c>
      <x:c r="F28" s="14" t="str">
        <x:v>The request concerns the investigation of a cold-chain deviation. It is already isolated under a quality hold, and only investigation paperwork is requested.</x:v>
      </x:c>
    </x:row>
    <x:row r="29" ht="64" customHeight="1">
      <x:c r="A29" s="18" t="str">
        <x:v>RLY-28450</x:v>
      </x:c>
      <x:c r="B29" s="13" t="str">
        <x:v>The steel panel is dented along one edge. It is stable in the unloading area and the receiver wants replacement approval.</x:v>
      </x:c>
      <x:c r="C29" s="14" t="str">
        <x:v>Cargo damage</x:v>
      </x:c>
      <x:c r="D29" s="14" t="str">
        <x:v>Routine</x:v>
      </x:c>
      <x:c r="E29" s="14" t="str">
        <x:v>No</x:v>
      </x:c>
      <x:c r="F29" s="14" t="str">
        <x:v>The dented steel panel needs replacement approval. It is stable in the unloading area, with no continuing hazard described.</x:v>
      </x:c>
    </x:row>
    <x:row r="30" ht="64" customHeight="1">
      <x:c r="A30" s="18" t="str">
        <x:v>RLY-21262</x:v>
      </x:c>
      <x:c r="B30" s="13" t="str">
        <x:v>The destination rescheduled unloading because its loading crew is unavailable. The freight is still on our vehicle.</x:v>
      </x:c>
      <x:c r="C30" s="14" t="str">
        <x:v>Delivery delay</x:v>
      </x:c>
      <x:c r="D30" s="14" t="str">
        <x:v>Routine</x:v>
      </x:c>
      <x:c r="E30" s="14" t="str">
        <x:v>No</x:v>
      </x:c>
      <x:c r="F30" s="14" t="str">
        <x:v>Unavailable receiving staff caused the destination to reschedule unloading, and the freight remains located on the vehicle. No immediate threat is described.</x:v>
      </x:c>
    </x:row>
    <x:row r="31" ht="64" customHeight="1">
      <x:c r="A31" s="18" t="str">
        <x:v>RLY-17064</x:v>
      </x:c>
      <x:c r="B31" s="13" t="str">
        <x:v>An unidentified liquid is spreading from a container near the break area. Its contents and hazard class have not been established.</x:v>
      </x:c>
      <x:c r="C31" s="14" t="str">
        <x:v>Safety &amp; security</x:v>
      </x:c>
      <x:c r="D31" s="14" t="str">
        <x:v>Urgent</x:v>
      </x:c>
      <x:c r="E31" s="14" t="str">
        <x:v>Yes</x:v>
      </x:c>
      <x:c r="F31" s="14" t="str">
        <x:v>An uncontrolled liquid spill is spreading near a break area, creating an active unsafe condition. The liquid identity and hazard class are unknown and need clarification.</x:v>
      </x:c>
    </x:row>
    <x:row r="32" ht="64" customHeight="1">
      <x:c r="A32" s="18" t="str">
        <x:v>RLY-12377</x:v>
      </x:c>
      <x:c r="B32" s="13" t="str">
        <x:v>The driver reports an armed threat beside the vehicle. Cargo and driver remain at the scene.</x:v>
      </x:c>
      <x:c r="C32" s="14" t="str">
        <x:v>Safety &amp; security</x:v>
      </x:c>
      <x:c r="D32" s="14" t="str">
        <x:v>Urgent</x:v>
      </x:c>
      <x:c r="E32" s="14" t="str">
        <x:v>No</x:v>
      </x:c>
      <x:c r="F32" s="14" t="str">
        <x:v>An armed threat is occurring beside the vehicle while the driver and cargo remain at the scene, requiring immediate security attention.</x:v>
      </x:c>
    </x:row>
    <x:row r="33" ht="64" customHeight="1">
      <x:c r="A33" s="18" t="str">
        <x:v>RLY-60445</x:v>
      </x:c>
      <x:c r="B33" s="13" t="str">
        <x:v>An audit found that the manifest uses the old customer address. The completed delivery itself was correct.</x:v>
      </x:c>
      <x:c r="C33" s="14" t="str">
        <x:v>Documents &amp; customs</x:v>
      </x:c>
      <x:c r="D33" s="14" t="str">
        <x:v>Routine</x:v>
      </x:c>
      <x:c r="E33" s="14" t="str">
        <x:v>No</x:v>
      </x:c>
      <x:c r="F33" s="14" t="str">
        <x:v>The manifest contains an outdated address, while the completed delivery was correct. The issue is record correction with no immediate cargo or safety threat described.</x:v>
      </x:c>
    </x:row>
    <x:row r="34" ht="64" customHeight="1">
      <x:c r="A34" s="18" t="str">
        <x:v>RLY-70425</x:v>
      </x:c>
      <x:c r="B34" s="13" t="str">
        <x:v>The shipment is intact and located at the origin depot. A scheduling error means it missed tonight's departure.</x:v>
      </x:c>
      <x:c r="C34" s="14" t="str">
        <x:v>Delivery delay</x:v>
      </x:c>
      <x:c r="D34" s="14" t="str">
        <x:v>Routine</x:v>
      </x:c>
      <x:c r="E34" s="14" t="str">
        <x:v>No</x:v>
      </x:c>
      <x:c r="F34" s="14" t="str">
        <x:v>The intact shipment is located at the origin depot and missed departure because of a scheduling error. No immediate threat is described.</x:v>
      </x:c>
    </x:row>
    <x:row r="35" ht="64" customHeight="1">
      <x:c r="A35" s="18" t="str">
        <x:v>RLY-92475</x:v>
      </x:c>
      <x:c r="B35" s="13" t="str">
        <x:v>The required minus 18 C freight has reached minus 2 C and continues warming. The refrigeration technician has not arrived.</x:v>
      </x:c>
      <x:c r="C35" s="14" t="str">
        <x:v>Temperature issue</x:v>
      </x:c>
      <x:c r="D35" s="14" t="str">
        <x:v>Urgent</x:v>
      </x:c>
      <x:c r="E35" s="14" t="str">
        <x:v>No</x:v>
      </x:c>
      <x:c r="F35" s="14" t="str">
        <x:v>Freight required at minus 18 C is already at minus 2 C and continues warming without the refrigeration technician present, establishing an uncontained excursion.</x:v>
      </x:c>
    </x:row>
    <x:row r="36" ht="64" customHeight="1">
      <x:c r="A36" s="18" t="str">
        <x:v>RLY-38240</x:v>
      </x:c>
      <x:c r="B36" s="13" t="str">
        <x:v>The driver is taking a mandatory rest break. All ambient cargo is secure and arrival will be 90 minutes after the estimate.</x:v>
      </x:c>
      <x:c r="C36" s="14" t="str">
        <x:v>Delivery delay</x:v>
      </x:c>
      <x:c r="D36" s="14" t="str">
        <x:v>Routine</x:v>
      </x:c>
      <x:c r="E36" s="14" t="str">
        <x:v>No</x:v>
      </x:c>
      <x:c r="F36" s="14" t="str">
        <x:v>A mandatory rest break makes arrival 90 minutes late. The ambient cargo is secure, and no immediate threat is described.</x:v>
      </x:c>
    </x:row>
    <x:row r="37" ht="64" customHeight="1">
      <x:c r="A37" s="18" t="str">
        <x:v>RLY-43963</x:v>
      </x:c>
      <x:c r="B37" s="13" t="str">
        <x:v>Ice cream is softening in a trailer whose compressor has failed. The stock remains on board without working cooling.</x:v>
      </x:c>
      <x:c r="C37" s="14" t="str">
        <x:v>Temperature issue</x:v>
      </x:c>
      <x:c r="D37" s="14" t="str">
        <x:v>Urgent</x:v>
      </x:c>
      <x:c r="E37" s="14" t="str">
        <x:v>No</x:v>
      </x:c>
      <x:c r="F37" s="14" t="str">
        <x:v>Ice cream is softening after compressor failure and remains without working cooling, so the temperature excursion is ongoing and uncontained.</x:v>
      </x:c>
    </x:row>
    <x:row r="38" ht="64" customHeight="1">
      <x:c r="A38" s="18" t="str">
        <x:v>RLY-84412</x:v>
      </x:c>
      <x:c r="B38" s="13" t="str">
        <x:v>The recipient has sent only 'late again, fix it'. There is no tracking reference or description of what was ordered.</x:v>
      </x:c>
      <x:c r="C38" s="14" t="str">
        <x:v>Unclear</x:v>
      </x:c>
      <x:c r="D38" s="14" t="str">
        <x:v>Unclear</x:v>
      </x:c>
      <x:c r="E38" s="14" t="str">
        <x:v>Yes</x:v>
      </x:c>
      <x:c r="F38" s="14" t="str">
        <x:v>The isolated phrase late again gives no shipment reference, item identity or account of its location or condition. The primary issue and any immediate consequences cannot be established.</x:v>
      </x:c>
    </x:row>
    <x:row r="39" ht="64" customHeight="1">
      <x:c r="A39" s="18" t="str">
        <x:v>RLY-62301</x:v>
      </x:c>
      <x:c r="B39" s="13" t="str">
        <x:v>A stack of heavy crates is sliding toward the loading crew. The unstable stack has not been secured.</x:v>
      </x:c>
      <x:c r="C39" s="14" t="str">
        <x:v>Safety &amp; security</x:v>
      </x:c>
      <x:c r="D39" s="14" t="str">
        <x:v>Urgent</x:v>
      </x:c>
      <x:c r="E39" s="14" t="str">
        <x:v>No</x:v>
      </x:c>
      <x:c r="F39" s="14" t="str">
        <x:v>Unsecured heavy crates are actively sliding toward the loading crew, creating an immediate physical hazard.</x:v>
      </x:c>
    </x:row>
    <x:row r="40" ht="64" customHeight="1">
      <x:c r="A40" s="18" t="str">
        <x:v>RLY-86887</x:v>
      </x:c>
      <x:c r="B40" s="13" t="str">
        <x:v>A worker is trapped beside a fallen load at the transfer bay. Other vehicles are still moving through the area.</x:v>
      </x:c>
      <x:c r="C40" s="14" t="str">
        <x:v>Safety &amp; security</x:v>
      </x:c>
      <x:c r="D40" s="14" t="str">
        <x:v>Urgent</x:v>
      </x:c>
      <x:c r="E40" s="14" t="str">
        <x:v>No</x:v>
      </x:c>
      <x:c r="F40" s="14" t="str">
        <x:v>A worker is trapped beside a fallen load while vehicles continue moving through the area, establishing an ongoing danger to a person.</x:v>
      </x:c>
    </x:row>
    <x:row r="41" ht="64" customHeight="1">
      <x:c r="A41" s="18" t="str">
        <x:v>RLY-93646</x:v>
      </x:c>
      <x:c r="B41" s="13" t="str">
        <x:v>The broker needs the invoice currency corrected before lodging the entry. No urgent use or cargo risk is identified.</x:v>
      </x:c>
      <x:c r="C41" s="14" t="str">
        <x:v>Documents &amp; customs</x:v>
      </x:c>
      <x:c r="D41" s="14" t="str">
        <x:v>Routine</x:v>
      </x:c>
      <x:c r="E41" s="14" t="str">
        <x:v>No</x:v>
      </x:c>
      <x:c r="F41" s="14" t="str">
        <x:v>The invoice currency must be corrected before the customs entry is lodged. The report identifies no urgent use or cargo risk.</x:v>
      </x:c>
    </x:row>
    <x:row r="42" ht="64" customHeight="1">
      <x:c r="A42" s="18" t="str">
        <x:v>RLY-57986</x:v>
      </x:c>
      <x:c r="B42" s="13" t="str">
        <x:v>The delivery photo shows a doorway nobody recognises. The buyer has no parcel and the exact delivery address needs confirmation.</x:v>
      </x:c>
      <x:c r="C42" s="14" t="str">
        <x:v>Missing shipment</x:v>
      </x:c>
      <x:c r="D42" s="14" t="str">
        <x:v>Routine</x:v>
      </x:c>
      <x:c r="E42" s="14" t="str">
        <x:v>Yes</x:v>
      </x:c>
      <x:c r="F42" s="14" t="str">
        <x:v>The buyer has no parcel and the photograph shows an unrecognised doorway, making delivery to the intended place unconfirmed. The exact delivery address needs confirmation; no immediate threat is described.</x:v>
      </x:c>
    </x:row>
    <x:row r="43" ht="64" customHeight="1">
      <x:c r="A43" s="18" t="str">
        <x:v>RLY-81591</x:v>
      </x:c>
      <x:c r="B43" s="13" t="str">
        <x:v>The receiver requests a copy of the stamped packing list for its accounts team. There is no operational issue with the cargo.</x:v>
      </x:c>
      <x:c r="C43" s="14" t="str">
        <x:v>Documents &amp; customs</x:v>
      </x:c>
      <x:c r="D43" s="14" t="str">
        <x:v>Routine</x:v>
      </x:c>
      <x:c r="E43" s="14" t="str">
        <x:v>No</x:v>
      </x:c>
      <x:c r="F43" s="14" t="str">
        <x:v>The receiver requests a stamped packing-list copy for accounts, and the report explicitly states there is no cargo operational issue.</x:v>
      </x:c>
    </x:row>
    <x:row r="44" ht="64" customHeight="1">
      <x:c r="A44" s="18" t="str">
        <x:v>RLY-49725</x:v>
      </x:c>
      <x:c r="B44" s="13" t="str">
        <x:v>The customer marked a towel order 'ASAP'. It is expected two hours late and no service-critical impact was described.</x:v>
      </x:c>
      <x:c r="C44" s="14" t="str">
        <x:v>Delivery delay</x:v>
      </x:c>
      <x:c r="D44" s="14" t="str">
        <x:v>Routine</x:v>
      </x:c>
      <x:c r="E44" s="14" t="str">
        <x:v>No</x:v>
      </x:c>
      <x:c r="F44" s="14" t="str">
        <x:v>The towel order is expected two hours late. ASAP and customer inconvenience do not establish urgency, and no service-critical impact is described.</x:v>
      </x:c>
    </x:row>
    <x:row r="45" ht="64" customHeight="1">
      <x:c r="A45" s="18" t="str">
        <x:v>RLY-73157</x:v>
      </x:c>
      <x:c r="B45" s="13" t="str">
        <x:v>A damaged acid container is venting fumes into the occupied warehouse. Nobody has isolated the area yet.</x:v>
      </x:c>
      <x:c r="C45" s="14" t="str">
        <x:v>Safety &amp; security</x:v>
      </x:c>
      <x:c r="D45" s="14" t="str">
        <x:v>Urgent</x:v>
      </x:c>
      <x:c r="E45" s="14" t="str">
        <x:v>No</x:v>
      </x:c>
      <x:c r="F45" s="14" t="str">
        <x:v>Acid fumes are actively venting into an occupied warehouse and the area remains unisolated. This ongoing hazardous-substance exposure takes precedence over container damage.</x:v>
      </x:c>
    </x:row>
    <x:row r="46" ht="64" customHeight="1">
      <x:c r="A46" s="18" t="str">
        <x:v>RLY-25751</x:v>
      </x:c>
      <x:c r="B46" s="13" t="str">
        <x:v>The cold storage circuit has tripped and the food cargo is warming rapidly. There is no spare cold room available.</x:v>
      </x:c>
      <x:c r="C46" s="14" t="str">
        <x:v>Temperature issue</x:v>
      </x:c>
      <x:c r="D46" s="14" t="str">
        <x:v>Urgent</x:v>
      </x:c>
      <x:c r="E46" s="14" t="str">
        <x:v>No</x:v>
      </x:c>
      <x:c r="F46" s="14" t="str">
        <x:v>Food cargo is warming rapidly after the cold-storage circuit tripped, and no spare cold room is available. The loss of temperature control is ongoing and uncontained.</x:v>
      </x:c>
    </x:row>
    <x:row r="47" ht="64" customHeight="1">
      <x:c r="A47" s="18" t="str">
        <x:v>RLY-99296</x:v>
      </x:c>
      <x:c r="B47" s="13" t="str">
        <x:v>The security team requests an archive copy of last month's resolved access incident. There is no ongoing intrusion.</x:v>
      </x:c>
      <x:c r="C47" s="14" t="str">
        <x:v>Safety &amp; security</x:v>
      </x:c>
      <x:c r="D47" s="14" t="str">
        <x:v>Routine</x:v>
      </x:c>
      <x:c r="E47" s="14" t="str">
        <x:v>No</x:v>
      </x:c>
      <x:c r="F47" s="14" t="str">
        <x:v>The requested archive copy concerns a resolved access-security incident. The report explicitly excludes an ongoing intrusion.</x:v>
      </x:c>
    </x:row>
    <x:row r="48" ht="64" customHeight="1">
      <x:c r="A48" s="18" t="str">
        <x:v>RLY-51173</x:v>
      </x:c>
      <x:c r="B48" s="13" t="str">
        <x:v>The customer received all items but the electronic receipt has the wrong company registration number.</x:v>
      </x:c>
      <x:c r="C48" s="14" t="str">
        <x:v>Documents &amp; customs</x:v>
      </x:c>
      <x:c r="D48" s="14" t="str">
        <x:v>Routine</x:v>
      </x:c>
      <x:c r="E48" s="14" t="str">
        <x:v>No</x:v>
      </x:c>
      <x:c r="F48" s="14" t="str">
        <x:v>All items were received, and the issue is the wrong company registration number on the electronic receipt.</x:v>
      </x:c>
    </x:row>
    <x:row r="49" ht="64" customHeight="1">
      <x:c r="A49" s="18" t="str">
        <x:v>RLY-79291</x:v>
      </x:c>
      <x:c r="B49" s="13" t="str">
        <x:v>A consignment containing the only replacement pressure-relief valve cannot be located. The site's safety system remains disabled awaiting the part.</x:v>
      </x:c>
      <x:c r="C49" s="14" t="str">
        <x:v>Missing shipment</x:v>
      </x:c>
      <x:c r="D49" s="14" t="str">
        <x:v>Urgent</x:v>
      </x:c>
      <x:c r="E49" s="14" t="str">
        <x:v>No</x:v>
      </x:c>
      <x:c r="F49" s="14" t="str">
        <x:v>The only replacement pressure-relief valve cannot be located, blocking restoration of the disabled site safety system. The missing shipment therefore meets the guide's urgent critical-system criterion.</x:v>
      </x:c>
    </x:row>
    <x:row r="50" ht="64" customHeight="1">
      <x:c r="A50" s="18" t="str">
        <x:v>RLY-83924</x:v>
      </x:c>
      <x:c r="B50" s="13" t="str">
        <x:v>A furniture delivery missed the customer's preferred morning slot. There is no damage, missing cargo or immediate risk.</x:v>
      </x:c>
      <x:c r="C50" s="14" t="str">
        <x:v>Delivery delay</x:v>
      </x:c>
      <x:c r="D50" s="14" t="str">
        <x:v>Routine</x:v>
      </x:c>
      <x:c r="E50" s="14" t="str">
        <x:v>No</x:v>
      </x:c>
      <x:c r="F50" s="14" t="str">
        <x:v>The furniture delivery missed a preferred time slot. The report explicitly excludes damage, missing cargo and immediate risk.</x:v>
      </x:c>
    </x:row>
    <x:row r="51" ht="64" customHeight="1">
      <x:c r="A51" s="18" t="str">
        <x:v>RLY-59960</x:v>
      </x:c>
      <x:c r="B51" s="13" t="str">
        <x:v>The import permit number has one incorrect digit. The goods are safe in the bonded facility awaiting an amendment.</x:v>
      </x:c>
      <x:c r="C51" s="14" t="str">
        <x:v>Documents &amp; customs</x:v>
      </x:c>
      <x:c r="D51" s="14" t="str">
        <x:v>Routine</x:v>
      </x:c>
      <x:c r="E51" s="14" t="str">
        <x:v>No</x:v>
      </x:c>
      <x:c r="F51" s="14" t="str">
        <x:v>A digit in the import permit number needs amendment. The goods are safe in the bonded facility, with no immediate threat described.</x:v>
      </x:c>
    </x:row>
    <x:row r="52" ht="64" customHeight="1">
      <x:c r="A52" s="18" t="str">
        <x:v>RLY-83191</x:v>
      </x:c>
      <x:c r="B52" s="13" t="str">
        <x:v>The warehouse cannot locate the return shipment after receiving it last week. Please search the return racks.</x:v>
      </x:c>
      <x:c r="C52" s="14" t="str">
        <x:v>Missing shipment</x:v>
      </x:c>
      <x:c r="D52" s="14" t="str">
        <x:v>Routine</x:v>
      </x:c>
      <x:c r="E52" s="14" t="str">
        <x:v>No</x:v>
      </x:c>
      <x:c r="F52" s="14" t="str">
        <x:v>The warehouse received the return shipment but cannot now locate it, so shipment tracing is the primary task. No immediate threat is described.</x:v>
      </x:c>
    </x:row>
    <x:row r="53" ht="64" customHeight="1">
      <x:c r="A53" s="18" t="str">
        <x:v>RLY-40567</x:v>
      </x:c>
      <x:c r="B53" s="13" t="str">
        <x:v>The forwarder cannot release the cargo until the exporter signs the missing origin declaration. Storage conditions are satisfactory.</x:v>
      </x:c>
      <x:c r="C53" s="14" t="str">
        <x:v>Documents &amp; customs</x:v>
      </x:c>
      <x:c r="D53" s="14" t="str">
        <x:v>Routine</x:v>
      </x:c>
      <x:c r="E53" s="14" t="str">
        <x:v>No</x:v>
      </x:c>
      <x:c r="F53" s="14" t="str">
        <x:v>An unsigned origin declaration prevents release, making trade documentation the operative cause. Storage conditions are satisfactory.</x:v>
      </x:c>
    </x:row>
    <x:row r="54" ht="64" customHeight="1">
      <x:c r="A54" s="18" t="str">
        <x:v>RLY-50385</x:v>
      </x:c>
      <x:c r="B54" s="13" t="str">
        <x:v>The receiver needs a logger file for the quality archive. All measurements met the shipment's stated storage conditions.</x:v>
      </x:c>
      <x:c r="C54" s="14" t="str">
        <x:v>Temperature issue</x:v>
      </x:c>
      <x:c r="D54" s="14" t="str">
        <x:v>Routine</x:v>
      </x:c>
      <x:c r="E54" s="14" t="str">
        <x:v>No</x:v>
      </x:c>
      <x:c r="F54" s="14" t="str">
        <x:v>The request is for a temperature logger record for the quality archive. All recorded measurements met the shipment's storage conditions.</x:v>
      </x:c>
    </x:row>
    <x:row r="55" ht="64" customHeight="1">
      <x:c r="A55" s="18" t="str">
        <x:v>RLY-22467</x:v>
      </x:c>
      <x:c r="B55" s="13" t="str">
        <x:v>The van is waiting for a ferry after the last sailing was cancelled. The dry-goods customer agreed to delivery tomorrow.</x:v>
      </x:c>
      <x:c r="C55" s="14" t="str">
        <x:v>Delivery delay</x:v>
      </x:c>
      <x:c r="D55" s="14" t="str">
        <x:v>Routine</x:v>
      </x:c>
      <x:c r="E55" s="14" t="str">
        <x:v>No</x:v>
      </x:c>
      <x:c r="F55" s="14" t="str">
        <x:v>A cancelled ferry sailing delayed the located dry-goods load, and the customer agreed to delivery tomorrow. No immediate threat is described.</x:v>
      </x:c>
    </x:row>
    <x:row r="56" ht="64" customHeight="1">
      <x:c r="A56" s="18" t="str">
        <x:v>RLY-18114</x:v>
      </x:c>
      <x:c r="B56" s="13" t="str">
        <x:v>A temperature warning was generated during an empty return trip. No product was on the vehicle.</x:v>
      </x:c>
      <x:c r="C56" s="14" t="str">
        <x:v>Temperature issue</x:v>
      </x:c>
      <x:c r="D56" s="14" t="str">
        <x:v>Routine</x:v>
      </x:c>
      <x:c r="E56" s="14" t="str">
        <x:v>No</x:v>
      </x:c>
      <x:c r="F56" s="14" t="str">
        <x:v>The warning concerns temperature monitoring, but it occurred on an empty return trip with no product on board.</x:v>
      </x:c>
    </x:row>
    <x:row r="57" ht="64" customHeight="1">
      <x:c r="A57" s="18" t="str">
        <x:v>RLY-94293</x:v>
      </x:c>
      <x:c r="B57" s="13" t="str">
        <x:v>The transport papers describe machinery while the receiver expects clothing. We need to verify the actual consignment.</x:v>
      </x:c>
      <x:c r="C57" s="14" t="str">
        <x:v>Unclear</x:v>
      </x:c>
      <x:c r="D57" s="14" t="str">
        <x:v>Routine</x:v>
      </x:c>
      <x:c r="E57" s="14" t="str">
        <x:v>Yes</x:v>
      </x:c>
      <x:c r="F57" s="14" t="str">
        <x:v>The papers name machinery while the receiver expects clothing. Actual consignment identity is unverified, so the primary issue could be incorrect documents or a different shipment; no immediate threat is described.</x:v>
      </x:c>
    </x:row>
    <x:row r="58" ht="64" customHeight="1">
      <x:c r="A58" s="18" t="str">
        <x:v>RLY-24299</x:v>
      </x:c>
      <x:c r="B58" s="13" t="str">
        <x:v>A 2 to 8 C product is now at 17 C after the insulated vehicle was left open. The consignment has not been quarantined.</x:v>
      </x:c>
      <x:c r="C58" s="14" t="str">
        <x:v>Temperature issue</x:v>
      </x:c>
      <x:c r="D58" s="14" t="str">
        <x:v>Urgent</x:v>
      </x:c>
      <x:c r="E58" s="14" t="str">
        <x:v>No</x:v>
      </x:c>
      <x:c r="F58" s="14" t="str">
        <x:v>A product requiring 2 to 8 C is now at 17 C after the vehicle was left open, and the consignment has not been quarantined. The reported excursion remains uncontained.</x:v>
      </x:c>
    </x:row>
    <x:row r="59" ht="64" customHeight="1">
      <x:c r="A59" s="18" t="str">
        <x:v>RLY-87059</x:v>
      </x:c>
      <x:c r="B59" s="13" t="str">
        <x:v>One roll of fabric is unaccounted for after a cross-dock transfer. No incident or active hazard was reported.</x:v>
      </x:c>
      <x:c r="C59" s="14" t="str">
        <x:v>Missing shipment</x:v>
      </x:c>
      <x:c r="D59" s="14" t="str">
        <x:v>Routine</x:v>
      </x:c>
      <x:c r="E59" s="14" t="str">
        <x:v>No</x:v>
      </x:c>
      <x:c r="F59" s="14" t="str">
        <x:v>One fabric roll is unaccounted for after transfer. The report describes no incident or active hazard.</x:v>
      </x:c>
    </x:row>
    <x:row r="60" ht="64" customHeight="1">
      <x:c r="A60" s="18" t="str">
        <x:v>RLY-16564</x:v>
      </x:c>
      <x:c r="B60" s="13" t="str">
        <x:v>A client wrote 'everything is ruined' without photos or details. We need to establish the item and extent of damage.</x:v>
      </x:c>
      <x:c r="C60" s="14" t="str">
        <x:v>Unclear</x:v>
      </x:c>
      <x:c r="D60" s="14" t="str">
        <x:v>Unclear</x:v>
      </x:c>
      <x:c r="E60" s="14" t="str">
        <x:v>Yes</x:v>
      </x:c>
      <x:c r="F60" s="14" t="str">
        <x:v>Everything is ruined does not establish the item, nature or extent of the alleged damage. Without details of the condition or any ongoing hazard, neither a primary category nor urgency can be established.</x:v>
      </x:c>
    </x:row>
    <x:row r="61" ht="64" customHeight="1">
      <x:c r="A61" s="18" t="str">
        <x:v>RLY-43187</x:v>
      </x:c>
      <x:c r="B61" s="13" t="str">
        <x:v>A printer has a cracked housing after transport. It is unplugged and there are no exposed batteries or fluids.</x:v>
      </x:c>
      <x:c r="C61" s="14" t="str">
        <x:v>Cargo damage</x:v>
      </x:c>
      <x:c r="D61" s="14" t="str">
        <x:v>Routine</x:v>
      </x:c>
      <x:c r="E61" s="14" t="str">
        <x:v>No</x:v>
      </x:c>
      <x:c r="F61" s="14" t="str">
        <x:v>The printer housing is cracked, but the printer is unplugged and there are no exposed batteries or fluids. Physical damage is the main issue.</x:v>
      </x:c>
    </x:row>
    <x:row r="62" ht="64" customHeight="1">
      <x:c r="A62" s="18" t="str">
        <x:v>RLY-94005</x:v>
      </x:c>
      <x:c r="B62" s="13" t="str">
        <x:v>Our books are on the correct truck, but the school receiving desk closes before it arrives. Please rebook the handover.</x:v>
      </x:c>
      <x:c r="C62" s="14" t="str">
        <x:v>Delivery delay</x:v>
      </x:c>
      <x:c r="D62" s="14" t="str">
        <x:v>Routine</x:v>
      </x:c>
      <x:c r="E62" s="14" t="str">
        <x:v>No</x:v>
      </x:c>
      <x:c r="F62" s="14" t="str">
        <x:v>The books are located on the correct truck, but arrival will miss receiving-desk hours and requires a rebooked handover. No immediate threat is described.</x:v>
      </x:c>
    </x:row>
    <x:row r="63" ht="64" customHeight="1">
      <x:c r="A63" s="18" t="str">
        <x:v>RLY-23545</x:v>
      </x:c>
      <x:c r="B63" s="13" t="str">
        <x:v>The inbound manifest lists twelve units but the destination has eleven. All received units are intact. Trace the absent unit.</x:v>
      </x:c>
      <x:c r="C63" s="14" t="str">
        <x:v>Missing shipment</x:v>
      </x:c>
      <x:c r="D63" s="14" t="str">
        <x:v>Routine</x:v>
      </x:c>
      <x:c r="E63" s="14" t="str">
        <x:v>No</x:v>
      </x:c>
      <x:c r="F63" s="14" t="str">
        <x:v>The manifest has twelve units and the destination received eleven, establishing a one-unit shortage. The received units are intact and no immediate threat is described.</x:v>
      </x:c>
    </x:row>
    <x:row r="64" ht="64" customHeight="1">
      <x:c r="A64" s="18" t="str">
        <x:v>RLY-10016</x:v>
      </x:c>
      <x:c r="B64" s="13" t="str">
        <x:v>An unauthorised truck is taking goods from the locked compound right now. The gate operator has asked for immediate assistance.</x:v>
      </x:c>
      <x:c r="C64" s="14" t="str">
        <x:v>Safety &amp; security</x:v>
      </x:c>
      <x:c r="D64" s="14" t="str">
        <x:v>Urgent</x:v>
      </x:c>
      <x:c r="E64" s="14" t="str">
        <x:v>No</x:v>
      </x:c>
      <x:c r="F64" s="14" t="str">
        <x:v>An unauthorised truck is actively removing goods from a locked compound, establishing an ongoing security incident requiring immediate assistance.</x:v>
      </x:c>
    </x:row>
    <x:row r="65" ht="64" customHeight="1">
      <x:c r="A65" s="18" t="str">
        <x:v>RLY-63003</x:v>
      </x:c>
      <x:c r="B65" s="13" t="str">
        <x:v>A clearance document error is preventing the release of the replacement emergency sprinkler controller. The destination has no working fire protection until it arrives.</x:v>
      </x:c>
      <x:c r="C65" s="14" t="str">
        <x:v>Documents &amp; customs</x:v>
      </x:c>
      <x:c r="D65" s="14" t="str">
        <x:v>Urgent</x:v>
      </x:c>
      <x:c r="E65" s="14" t="str">
        <x:v>No</x:v>
      </x:c>
      <x:c r="F65" s="14" t="str">
        <x:v>A clearance-document error blocks release of the replacement sprinkler controller. Because the destination has no working fire protection until it arrives, this documentation blocker meets the critical-safety-system urgency rule.</x:v>
      </x:c>
    </x:row>
    <x:row r="66" ht="64" customHeight="1">
      <x:c r="A66" s="19" t="str">
        <x:v>RLY-32303</x:v>
      </x:c>
      <x:c r="B66" s="15" t="str">
        <x:v>The receiver unpacked a bent bicycle frame. It is set aside and the customer needs a damage assessment.</x:v>
      </x:c>
      <x:c r="C66" s="16" t="str">
        <x:v>Cargo damage</x:v>
      </x:c>
      <x:c r="D66" s="16" t="str">
        <x:v>Routine</x:v>
      </x:c>
      <x:c r="E66" s="16" t="str">
        <x:v>No</x:v>
      </x:c>
      <x:c r="F66" s="16" t="str">
        <x:v>The bicycle frame is bent and has been set aside for a damage assessment. No continuing hazard is described.</x:v>
      </x:c>
    </x:row>
    <x:row r="67">
      <x:c r="A67" s="1"/>
      <x:c r="B67" s="1"/>
      <x:c r="C67" s="1"/>
      <x:c r="D67" s="1"/>
      <x:c r="E67" s="1"/>
      <x:c r="F67" s="1"/>
    </x:row>
  </x:sheetData>
  <x:conditionalFormatting sqref="C7:D66">
    <x:cfRule type="containsText" dxfId="0" priority="1" operator="containsText" text="Unclear"/>
  </x:conditionalFormatting>
  <x:conditionalFormatting sqref="D7:D66">
    <x:cfRule type="containsText" dxfId="1" priority="2" operator="containsText" text="Urgent"/>
  </x:conditionalFormatting>
  <x:conditionalFormatting sqref="E7:E66">
    <x:cfRule type="containsText" dxfId="2" priority="3" operator="containsText" text="Yes"/>
  </x:conditionalFormatting>
  <x:dataValidations count="3">
    <x:dataValidation type="list" sqref="C7:C66">
      <x:formula1>"Delivery delay,Missing shipment,Cargo damage,Temperature issue,Safety &amp; security,Documents &amp; customs,Unclear"</x:formula1>
    </x:dataValidation>
    <x:dataValidation type="list" sqref="D7:D66">
      <x:formula1>"Urgent,Routine,Unclear"</x:formula1>
    </x:dataValidation>
    <x:dataValidation type="list" sqref="E7:E66">
      <x:formula1>"Yes,No"</x:formula1>
    </x:dataValidation>
  </x:dataValidations>
  <x:pageMargins left="0.7" right="0.7" top="0.75" bottom="0.75" header="0.3" footer="0.3"/>
  <x:tableParts count="1">
    <x:tablePart xmlns:r="http://schemas.openxmlformats.org/officeDocument/2006/relationships" r:id="R20881841d0ec4bd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5" hidden="0" customWidth="1"/>
  </x:cols>
  <x:sheetData>
    <x:row r="1">
      <x:c r="A1" s="1"/>
      <x:c r="B1" s="1"/>
      <x:c r="C1" s="1"/>
    </x:row>
    <x:row r="2">
      <x:c r="A2" s="2" t="str">
        <x:v>Review provenance</x:v>
      </x:c>
      <x:c r="B2" s="1"/>
      <x:c r="C2" s="1"/>
    </x:row>
    <x:row r="3">
      <x:c r="A3" s="1"/>
      <x:c r="B3" s="1"/>
      <x:c r="C3" s="1"/>
    </x:row>
    <x:row r="4">
      <x:c r="A4" s="1" t="str">
        <x:v>Reviewer name</x:v>
      </x:c>
      <x:c r="B4" s="21" t="str">
        <x:v>independent_report_review</x:v>
      </x:c>
      <x:c r="C4" s="1"/>
    </x:row>
    <x:row r="5">
      <x:c r="A5" s="1" t="str">
        <x:v>Review date</x:v>
      </x:c>
      <x:c r="B5" s="22" t="d">
        <x:v>2026-10-21T00:00:00.000Z</x:v>
      </x:c>
      <x:c r="C5" s="1"/>
    </x:row>
    <x:row r="6">
      <x:c r="A6" s="1" t="str">
        <x:v>Reviewer type</x:v>
      </x:c>
      <x:c r="B6" s="1" t="str">
        <x:v>agent</x:v>
      </x:c>
      <x:c r="C6" s="1"/>
    </x:row>
    <x:row r="7" ht="40" customHeight="1">
      <x:c r="A7" s="25" t="str">
        <x:v>Review source</x:v>
      </x:c>
      <x:c r="B7" s="26" t="str">
        <x:v>A separate Codex agent reviewed all 60 reports in a fresh context at the user's request.</x:v>
      </x:c>
      <x:c r="C7" s="1"/>
    </x:row>
    <x:row r="8" ht="82" customHeight="1">
      <x:c r="A8" s="23" t="str">
        <x:v>Method</x:v>
      </x:c>
      <x:c r="B8" s="8" t="str">
        <x:v>Fresh-context, label- and prediction-blind agent review of the supplied report texts and written guide only. Each category, urgency and clarification judgment was made individually using the reviewer's own judgment; no keyword classifier, existing model, repository material, original annotations, other reviews or evaluation results were used. Code was used only to read the two inputs, package the manually authored judgments and validate coverage and field types.</x:v>
      </x:c>
      <x:c r="C8" s="1"/>
    </x:row>
    <x:row r="9" ht="40" customHeight="1">
      <x:c r="A9" s="23" t="str">
        <x:v>Isolation</x:v>
      </x:c>
      <x:c r="B9" s="8" t="str">
        <x:v>The reviewer received only the original report text and written label guide. Parent history, previous labels, classifiers and predictions were excluded.</x:v>
      </x:c>
      <x:c r="C9" s="1"/>
    </x:row>
    <x:row r="10" ht="40" customHeight="1">
      <x:c r="A10" s="23" t="str">
        <x:v>Uncertainty</x:v>
      </x:c>
      <x:c r="B10" s="8" t="str">
        <x:v>Unclear values and written reasons are preserved exactly as returned. No judgments were changed to improve classifier scores.</x:v>
      </x:c>
      <x:c r="C10" s="1"/>
    </x:row>
    <x:row r="11" ht="40" customHeight="1">
      <x:c r="A11" s="23" t="str">
        <x:v>Reviewer identity</x:v>
      </x:c>
      <x:c r="B11" s="8" t="str">
        <x:v>This is an independent agent review, not human or logistics-operator validation. AI tools and collaboration are acknowledged in the project attribution.</x:v>
      </x:c>
      <x:c r="C11" s="1"/>
    </x:row>
    <x:row r="12" ht="40" customHeight="1">
      <x:c r="A12" s="23" t="str">
        <x:v>Urgent</x:v>
      </x:c>
      <x:c r="B12" s="8" t="str">
        <x:v>An ongoing physical/security hazard, uncontrolled temperature exposure, or a critical safety-system consequence requires immediate attention.</x:v>
      </x:c>
      <x:c r="C12" s="1"/>
    </x:row>
    <x:row r="13" ht="40" customHeight="1">
      <x:c r="A13" s="23" t="str">
        <x:v>Clarification</x:v>
      </x:c>
      <x:c r="B13" s="8" t="str">
        <x:v>Material facts are missing or conflicting, or multiple issues need separate handling. Urgent does not automatically mean clarification.</x:v>
      </x:c>
      <x:c r="C13" s="1"/>
    </x:row>
    <x:row r="14" ht="40" customHeight="1">
      <x:c r="A14" s="23" t="str">
        <x:v>Guide ambiguity</x:v>
      </x:c>
      <x:c r="B14" s="8" t="str">
        <x:v>The reviewer documented ambiguous safety-system routing, historical records and uncertain urgency. These limits remain in the evidence.</x:v>
      </x:c>
      <x:c r="C14" s="1"/>
    </x:row>
    <x:row r="15" ht="40" customHeight="1">
      <x:c r="A15" s="23" t="str">
        <x:v>Source</x:v>
      </x:c>
      <x:c r="B15" s="8" t="str">
        <x:v>Original synthetic logistics reports, authored with Codex. Original report text and order are retained.</x:v>
      </x:c>
      <x:c r="C15" s="1"/>
    </x:row>
    <x:row r="16" ht="40" customHeight="1">
      <x:c r="A16" s="23" t="str">
        <x:v>Source checksum</x:v>
      </x:c>
      <x:c r="B16" s="8" t="str">
        <x:v>9d126744d9f0c5e408b4de0e30ed1b1117c178f9bcc7a1afe7f1438b7cd5d13c</x:v>
      </x:c>
      <x:c r="C16" s="1"/>
    </x:row>
    <x:row r="17" ht="40" customHeight="1">
      <x:c r="A17" s="23" t="str">
        <x:v>Freeze</x:v>
      </x:c>
      <x:c r="B17" s="8" t="str">
        <x:v>The original agent output, input hashes, label file and model/evaluator hashes are preserved before scoring.</x:v>
      </x:c>
      <x:c r="C17" s="1"/>
    </x:row>
    <x:row r="18" ht="40" customHeight="1">
      <x:c r="A18" s="23" t="str">
        <x:v>Evaluation</x:v>
      </x:c>
      <x:c r="B18" s="8" t="str">
        <x:v>The held-out test uses these frozen judgments. Classifiers were not tuned on them.</x:v>
      </x:c>
      <x:c r="C18" s="1"/>
    </x:row>
    <x:row r="19" ht="40" customHeight="1">
      <x:c r="A19" s="23" t="str">
        <x:v>Original workbook</x:v>
      </x:c>
      <x:c r="B19" s="8" t="str">
        <x:v>The initial blank review workbook and existing human review records are unchanged.</x:v>
      </x:c>
      <x:c r="C19" s="1"/>
    </x:row>
    <x:row r="20" ht="40" customHeight="1">
      <x:c r="A20" s="23" t="str">
        <x:v>Source record</x:v>
      </x:c>
      <x:c r="B20" s="8" t="str">
        <x:v>The original reviewer JSON and full provenance are included in the repository evaluation evidence.</x:v>
      </x:c>
      <x:c r="C20" s="1"/>
    </x:row>
    <x:row r="21">
      <x:c r="A21" s="24"/>
      <x:c r="B21" s="1"/>
      <x:c r="C21" s="1"/>
    </x:row>
    <x:row r="22">
      <x:c r="A22" s="24"/>
      <x:c r="B22" s="1"/>
      <x:c r="C22" s="1"/>
    </x:row>
    <x:row r="23" ht="25" customHeight="1">
      <x:c r="A23" s="4" t="str">
        <x:v>Review counts</x:v>
      </x:c>
      <x:c r="B23" s="4" t="str">
        <x:v>Reports</x:v>
      </x:c>
      <x:c r="C23" s="1"/>
    </x:row>
    <x:row r="24" ht="25" customHeight="1">
      <x:c r="A24" s="1" t="str">
        <x:v>Reviewed</x:v>
      </x:c>
      <x:c r="B24" s="27" t="n">
        <x:f>COUNTA('Review'!A7:A66)</x:f>
        <x:v>60</x:v>
      </x:c>
      <x:c r="C24" s="1"/>
    </x:row>
    <x:row r="25" ht="25" customHeight="1">
      <x:c r="A25" s="1" t="str">
        <x:v>Urgent</x:v>
      </x:c>
      <x:c r="B25" s="27" t="n">
        <x:f>COUNTIFS('Review'!D7:D66,"Urgent")</x:f>
        <x:v>16</x:v>
      </x:c>
      <x:c r="C25" s="1"/>
    </x:row>
    <x:row r="26" ht="25" customHeight="1">
      <x:c r="A26" s="1" t="str">
        <x:v>Routine</x:v>
      </x:c>
      <x:c r="B26" s="27" t="n">
        <x:f>COUNTIFS('Review'!D7:D66,"Routine")</x:f>
        <x:v>40</x:v>
      </x:c>
      <x:c r="C26" s="1"/>
    </x:row>
    <x:row r="27" ht="25" customHeight="1">
      <x:c r="A27" s="1" t="str">
        <x:v>Unclear urgency</x:v>
      </x:c>
      <x:c r="B27" s="27" t="n">
        <x:f>COUNTIFS('Review'!D7:D66,"Unclear")</x:f>
        <x:v>4</x:v>
      </x:c>
      <x:c r="C27" s="1"/>
    </x:row>
    <x:row r="28" ht="25" customHeight="1">
      <x:c r="A28" s="1" t="str">
        <x:v>Needs clarification</x:v>
      </x:c>
      <x:c r="B28" s="27" t="n">
        <x:f>COUNTIFS('Review'!E7:E66,"Yes")</x:f>
        <x:v>12</x:v>
      </x:c>
      <x:c r="C28" s="1"/>
    </x:row>
    <x:row r="29" ht="25" customHeight="1">
      <x:c r="A29" s="1" t="str">
        <x:v>Unclear category</x:v>
      </x:c>
      <x:c r="B29" s="27" t="n">
        <x:f>COUNTIFS('Review'!C7:C66,"Unclear")</x:f>
        <x:v>4</x:v>
      </x:c>
      <x:c r="C29" s="1"/>
    </x:row>
  </x:sheetData>
  <x:pageMargins left="0.7" right="0.7" top="0.75" bottom="0.75" header="0.3" footer="0.3"/>
</x:worksheet>
</file>